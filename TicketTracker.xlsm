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al\Desktop\Arjun\VB\TicketTracker\"/>
    </mc:Choice>
  </mc:AlternateContent>
  <xr:revisionPtr revIDLastSave="0" documentId="13_ncr:1_{FE2873C2-78EF-44B1-8B69-CE211779B925}" xr6:coauthVersionLast="47" xr6:coauthVersionMax="47" xr10:uidLastSave="{00000000-0000-0000-0000-000000000000}"/>
  <bookViews>
    <workbookView minimized="1" xWindow="9600" yWindow="1485" windowWidth="28800" windowHeight="14715" firstSheet="1" activeTab="3" xr2:uid="{A8004C6F-09A7-4396-B482-91C0AEE0F62A}"/>
  </bookViews>
  <sheets>
    <sheet name="Launch Ticket Tracker" sheetId="1" state="hidden" r:id="rId1"/>
    <sheet name="Data" sheetId="2" r:id="rId2"/>
    <sheet name="Data_Display" sheetId="3" r:id="rId3"/>
    <sheet name="Support" sheetId="4" r:id="rId4"/>
    <sheet name="List" sheetId="5" r:id="rId5"/>
  </sheets>
  <externalReferences>
    <externalReference r:id="rId6"/>
  </externalReferences>
  <definedNames>
    <definedName name="_xlnm._FilterDatabase" localSheetId="1" hidden="1">Data!$A$1:$L$1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L5" i="4"/>
  <c r="F5" i="4"/>
  <c r="O4" i="4"/>
  <c r="L4" i="4"/>
  <c r="I4" i="4"/>
  <c r="F4" i="4"/>
  <c r="R3" i="4"/>
  <c r="O3" i="4"/>
  <c r="L3" i="4"/>
  <c r="I3" i="4"/>
  <c r="F3" i="4"/>
  <c r="R2" i="4"/>
  <c r="O2" i="4"/>
  <c r="L2" i="4"/>
  <c r="I2" i="4"/>
  <c r="F2" i="4"/>
</calcChain>
</file>

<file path=xl/sharedStrings.xml><?xml version="1.0" encoding="utf-8"?>
<sst xmlns="http://schemas.openxmlformats.org/spreadsheetml/2006/main" count="72" uniqueCount="28">
  <si>
    <t>Id</t>
  </si>
  <si>
    <t>Description</t>
  </si>
  <si>
    <t>Project Impact</t>
  </si>
  <si>
    <t>Priority</t>
  </si>
  <si>
    <t>Open Date</t>
  </si>
  <si>
    <t>Closed Date</t>
  </si>
  <si>
    <t>Issue Owner</t>
  </si>
  <si>
    <t>Department</t>
  </si>
  <si>
    <t>Status</t>
  </si>
  <si>
    <t>Comments</t>
  </si>
  <si>
    <t>Update Time</t>
  </si>
  <si>
    <t>Critical</t>
  </si>
  <si>
    <t>Medium</t>
  </si>
  <si>
    <t>Jack</t>
  </si>
  <si>
    <t>IT</t>
  </si>
  <si>
    <t>Open</t>
  </si>
  <si>
    <t>High</t>
  </si>
  <si>
    <t>PK</t>
  </si>
  <si>
    <t>HR</t>
  </si>
  <si>
    <t>Low</t>
  </si>
  <si>
    <t>Closed</t>
  </si>
  <si>
    <t>Raj</t>
  </si>
  <si>
    <t>Admin</t>
  </si>
  <si>
    <t>William</t>
  </si>
  <si>
    <t>Start Date</t>
  </si>
  <si>
    <t>Total</t>
  </si>
  <si>
    <t>Count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</si>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</sst>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5" fontId="1" fillId="2" borderId="1" xfId="0" applyNumberFormat="1" applyFont="1" applyFill="1" applyBorder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Project Impact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[1]Support!$F$1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AB-4E3D-B516-036D35FCFBE7}"/>
              </c:ext>
            </c:extLst>
          </c:dPt>
          <c:cat>
            <c:strRef>
              <c:f>[1]!X_Project_Impact</c:f>
            </c:strRef>
          </c:cat>
          <c:val>
            <c:numRef>
              <c:f>[1]!Y_Project_Impact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AB-4E3D-B516-036D35FCF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[1]Support!$I$1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B2-4E1E-AE26-0D9FE5D694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B2-4E1E-AE26-0D9FE5D694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B2-4E1E-AE26-0D9FE5D694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7-8EB2-4E1E-AE26-0D9FE5D694FD}"/>
              </c:ext>
            </c:extLst>
          </c:dPt>
          <c:cat>
            <c:strRef>
              <c:f>[1]!X_Priority</c:f>
            </c:strRef>
          </c:cat>
          <c:val>
            <c:numRef>
              <c:f>[1]!Y_Priority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B2-4E1E-AE26-0D9FE5D6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Issue Owner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[1]Support!$I$1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0D-4B41-983F-466B69DEA630}"/>
              </c:ext>
            </c:extLst>
          </c:dPt>
          <c:cat>
            <c:strRef>
              <c:f>[1]!X_Issue_Owner</c:f>
            </c:strRef>
          </c:cat>
          <c:val>
            <c:numRef>
              <c:f>[1]!Y_Issue_Owner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0D-4B41-983F-466B69DEA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67341840"/>
        <c:axId val="718838448"/>
      </c:barChart>
      <c:valAx>
        <c:axId val="71883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341840"/>
        <c:crosses val="autoZero"/>
        <c:crossBetween val="between"/>
      </c:valAx>
      <c:catAx>
        <c:axId val="767341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838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[1]Support!$F$1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72-401F-9F37-032284BF40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72-401F-9F37-032284BF40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72-401F-9F37-032284BF40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72-401F-9F37-032284BF4045}"/>
              </c:ext>
            </c:extLst>
          </c:dPt>
          <c:cat>
            <c:strRef>
              <c:f>[1]!X_Department</c:f>
            </c:strRef>
          </c:cat>
          <c:val>
            <c:numRef>
              <c:f>[1]!Y_Department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72-401F-9F37-032284BF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[1]Support!$F$1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07-4382-B5F5-5C333225D0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07-4382-B5F5-5C333225D0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5-3F07-4382-B5F5-5C333225D0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7-3F07-4382-B5F5-5C333225D014}"/>
              </c:ext>
            </c:extLst>
          </c:dPt>
          <c:cat>
            <c:strRef>
              <c:f>[1]!X_Status</c:f>
            </c:strRef>
          </c:cat>
          <c:val>
            <c:numRef>
              <c:f>[1]!Y_Status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07-4382-B5F5-5C333225D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28575</xdr:rowOff>
    </xdr:from>
    <xdr:to>
      <xdr:col>9</xdr:col>
      <xdr:colOff>428625</xdr:colOff>
      <xdr:row>14</xdr:row>
      <xdr:rowOff>47625</xdr:rowOff>
    </xdr:to>
    <xdr:sp macro="[0]!Launch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EE0B49-2F6F-42B1-ACB6-0B750EBC95F5}"/>
            </a:ext>
          </a:extLst>
        </xdr:cNvPr>
        <xdr:cNvSpPr/>
      </xdr:nvSpPr>
      <xdr:spPr>
        <a:xfrm>
          <a:off x="3886200" y="2124075"/>
          <a:ext cx="2028825" cy="590550"/>
        </a:xfrm>
        <a:prstGeom prst="roundRect">
          <a:avLst>
            <a:gd name="adj" fmla="val 3764"/>
          </a:avLst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200">
            <a:solidFill>
              <a:schemeClr val="bg1"/>
            </a:solidFill>
          </a:endParaRPr>
        </a:p>
        <a:p>
          <a:pPr algn="ctr"/>
          <a:r>
            <a:rPr lang="en-CA" sz="1200">
              <a:solidFill>
                <a:schemeClr val="bg1"/>
              </a:solidFill>
            </a:rPr>
            <a:t>Launch Ticket Tracker Macro</a:t>
          </a:r>
        </a:p>
        <a:p>
          <a:pPr algn="ctr"/>
          <a:endParaRPr lang="en-CA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10</xdr:row>
      <xdr:rowOff>0</xdr:rowOff>
    </xdr:from>
    <xdr:to>
      <xdr:col>4</xdr:col>
      <xdr:colOff>575945</xdr:colOff>
      <xdr:row>18</xdr:row>
      <xdr:rowOff>118745</xdr:rowOff>
    </xdr:to>
    <xdr:graphicFrame macro="">
      <xdr:nvGraphicFramePr>
        <xdr:cNvPr id="5" name="Project_Impact_Chart">
          <a:extLst>
            <a:ext uri="{FF2B5EF4-FFF2-40B4-BE49-F238E27FC236}">
              <a16:creationId xmlns:a16="http://schemas.microsoft.com/office/drawing/2014/main" id="{CC8E1867-D5F7-46D0-8426-B41A79EEC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20</xdr:row>
      <xdr:rowOff>0</xdr:rowOff>
    </xdr:from>
    <xdr:to>
      <xdr:col>4</xdr:col>
      <xdr:colOff>600709</xdr:colOff>
      <xdr:row>28</xdr:row>
      <xdr:rowOff>118745</xdr:rowOff>
    </xdr:to>
    <xdr:graphicFrame macro="">
      <xdr:nvGraphicFramePr>
        <xdr:cNvPr id="6" name="Priority_Chart">
          <a:extLst>
            <a:ext uri="{FF2B5EF4-FFF2-40B4-BE49-F238E27FC236}">
              <a16:creationId xmlns:a16="http://schemas.microsoft.com/office/drawing/2014/main" id="{0DA0C461-55CA-4C53-84C1-532657382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220980</xdr:colOff>
      <xdr:row>10</xdr:row>
      <xdr:rowOff>0</xdr:rowOff>
    </xdr:from>
    <xdr:to>
      <xdr:col>11</xdr:col>
      <xdr:colOff>372110</xdr:colOff>
      <xdr:row>28</xdr:row>
      <xdr:rowOff>66675</xdr:rowOff>
    </xdr:to>
    <xdr:graphicFrame macro="">
      <xdr:nvGraphicFramePr>
        <xdr:cNvPr id="7" name="Issue_Owner_Chart">
          <a:extLst>
            <a:ext uri="{FF2B5EF4-FFF2-40B4-BE49-F238E27FC236}">
              <a16:creationId xmlns:a16="http://schemas.microsoft.com/office/drawing/2014/main" id="{D6625D32-B32C-4E63-92EB-F07F0FF60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220980</xdr:colOff>
      <xdr:row>10</xdr:row>
      <xdr:rowOff>0</xdr:rowOff>
    </xdr:from>
    <xdr:to>
      <xdr:col>17</xdr:col>
      <xdr:colOff>220980</xdr:colOff>
      <xdr:row>18</xdr:row>
      <xdr:rowOff>118745</xdr:rowOff>
    </xdr:to>
    <xdr:graphicFrame macro="">
      <xdr:nvGraphicFramePr>
        <xdr:cNvPr id="8" name="Department_Chart">
          <a:extLst>
            <a:ext uri="{FF2B5EF4-FFF2-40B4-BE49-F238E27FC236}">
              <a16:creationId xmlns:a16="http://schemas.microsoft.com/office/drawing/2014/main" id="{13497833-F8F1-49CA-BB7B-2B00569B8D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220980</xdr:colOff>
      <xdr:row>20</xdr:row>
      <xdr:rowOff>0</xdr:rowOff>
    </xdr:from>
    <xdr:to>
      <xdr:col>17</xdr:col>
      <xdr:colOff>222250</xdr:colOff>
      <xdr:row>28</xdr:row>
      <xdr:rowOff>121285</xdr:rowOff>
    </xdr:to>
    <xdr:graphicFrame macro="">
      <xdr:nvGraphicFramePr>
        <xdr:cNvPr id="10" name="Status_Chart">
          <a:extLst>
            <a:ext uri="{FF2B5EF4-FFF2-40B4-BE49-F238E27FC236}">
              <a16:creationId xmlns:a16="http://schemas.microsoft.com/office/drawing/2014/main" id="{C16D50F4-E10F-433D-9498-983B6F63A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8</xdr:row>
      <xdr:rowOff>152400</xdr:rowOff>
    </xdr:from>
    <xdr:to>
      <xdr:col>11</xdr:col>
      <xdr:colOff>409575</xdr:colOff>
      <xdr:row>15</xdr:row>
      <xdr:rowOff>171450</xdr:rowOff>
    </xdr:to>
    <xdr:sp macro="[0]!Launch_Form" textlink="">
      <xdr:nvSpPr>
        <xdr:cNvPr id="4" name="Arrow: Right 3">
          <a:extLst>
            <a:ext uri="{FF2B5EF4-FFF2-40B4-BE49-F238E27FC236}">
              <a16:creationId xmlns:a16="http://schemas.microsoft.com/office/drawing/2014/main" id="{41470F2C-6C2A-457A-9CD9-D1940A2A136E}"/>
            </a:ext>
          </a:extLst>
        </xdr:cNvPr>
        <xdr:cNvSpPr/>
      </xdr:nvSpPr>
      <xdr:spPr>
        <a:xfrm>
          <a:off x="4953000" y="1676400"/>
          <a:ext cx="2162175" cy="1352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CA">
            <a:effectLst/>
          </a:endParaRPr>
        </a:p>
        <a:p>
          <a:r>
            <a:rPr lang="en-CA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Launch Ticket Tracker Macro</a:t>
          </a:r>
          <a:endParaRPr lang="en-CA">
            <a:effectLst/>
          </a:endParaRPr>
        </a:p>
        <a:p>
          <a:pPr algn="l"/>
          <a:endParaRPr lang="en-CA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yal/Desktop/Arjun/VB/Issue%20Trac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unch Form"/>
      <sheetName val="Data"/>
      <sheetName val="Data_Display"/>
      <sheetName val="Support"/>
      <sheetName val="List"/>
      <sheetName val="Issue Tracker"/>
    </sheetNames>
    <definedNames>
      <definedName name="X_Department" refersTo="#REF!"/>
      <definedName name="X_Issue_Owner" refersTo="#REF!"/>
      <definedName name="X_Priority" refersTo="#REF!"/>
      <definedName name="X_Project_Impact" refersTo="#REF!"/>
      <definedName name="X_Status" refersTo="#REF!"/>
      <definedName name="Y_Department" refersTo="#REF!"/>
      <definedName name="Y_Issue_Owner" refersTo="#REF!"/>
      <definedName name="Y_Priority" refersTo="#REF!"/>
      <definedName name="Y_Project_Impact" refersTo="#REF!"/>
      <definedName name="Y_Status" refersTo="#REF!"/>
    </definedNames>
    <sheetDataSet>
      <sheetData sheetId="0" refreshError="1"/>
      <sheetData sheetId="1" refreshError="1"/>
      <sheetData sheetId="2" refreshError="1"/>
      <sheetData sheetId="3">
        <row r="1">
          <cell r="B1">
            <v>43988</v>
          </cell>
          <cell r="F1" t="str">
            <v>Count</v>
          </cell>
          <cell r="I1" t="str">
            <v>Count</v>
          </cell>
        </row>
        <row r="2">
          <cell r="B2">
            <v>44017</v>
          </cell>
          <cell r="E2" t="str">
            <v>Critical</v>
          </cell>
          <cell r="F2">
            <v>0</v>
          </cell>
          <cell r="H2" t="str">
            <v>High</v>
          </cell>
          <cell r="I2">
            <v>0</v>
          </cell>
          <cell r="K2" t="str">
            <v>PK</v>
          </cell>
          <cell r="L2">
            <v>0</v>
          </cell>
          <cell r="N2" t="str">
            <v>IT</v>
          </cell>
          <cell r="O2">
            <v>0</v>
          </cell>
          <cell r="Q2" t="str">
            <v>Open</v>
          </cell>
          <cell r="R2">
            <v>0</v>
          </cell>
        </row>
        <row r="3">
          <cell r="E3" t="str">
            <v>High</v>
          </cell>
          <cell r="F3">
            <v>0</v>
          </cell>
          <cell r="H3" t="str">
            <v>Low</v>
          </cell>
          <cell r="I3">
            <v>0</v>
          </cell>
          <cell r="K3" t="str">
            <v>Jack</v>
          </cell>
          <cell r="L3">
            <v>0</v>
          </cell>
          <cell r="N3" t="str">
            <v>HR</v>
          </cell>
          <cell r="O3">
            <v>0</v>
          </cell>
          <cell r="Q3" t="str">
            <v>Closed</v>
          </cell>
          <cell r="R3">
            <v>0</v>
          </cell>
        </row>
        <row r="4">
          <cell r="E4" t="str">
            <v>Low</v>
          </cell>
          <cell r="F4">
            <v>0</v>
          </cell>
          <cell r="H4" t="str">
            <v>Medium</v>
          </cell>
          <cell r="I4">
            <v>0</v>
          </cell>
          <cell r="K4" t="str">
            <v>Raj</v>
          </cell>
          <cell r="L4">
            <v>0</v>
          </cell>
          <cell r="N4" t="str">
            <v>Admin</v>
          </cell>
          <cell r="O4">
            <v>0</v>
          </cell>
        </row>
        <row r="5">
          <cell r="E5" t="str">
            <v>Medium</v>
          </cell>
          <cell r="F5">
            <v>0</v>
          </cell>
          <cell r="K5" t="str">
            <v>William</v>
          </cell>
          <cell r="L5">
            <v>0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66A8-FB8A-4337-AD38-92E0359ADB7A}">
  <sheetPr codeName="Sheet1"/>
  <dimension ref="A1"/>
  <sheetViews>
    <sheetView showGridLines="0" workbookViewId="0">
      <selection activeCell="F24" sqref="F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2E72D-21A7-4AFA-9ED4-1A0FD4DB4B7C}">
  <sheetPr codeName="Sheet2"/>
  <dimension ref="A1:K1"/>
  <sheetViews>
    <sheetView workbookViewId="0">
      <selection activeCell="D2" sqref="D2"/>
    </sheetView>
  </sheetViews>
  <sheetFormatPr defaultRowHeight="15" x14ac:dyDescent="0.25"/>
  <cols>
    <col min="11" max="11" width="15.5703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ADA15-5BD1-4E6C-8373-F4CA86A09944}">
  <sheetPr codeName="Sheet3"/>
  <dimension ref="A1:K1"/>
  <sheetViews>
    <sheetView workbookViewId="0">
      <selection activeCell="B5" sqref="B5"/>
    </sheetView>
  </sheetViews>
  <sheetFormatPr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</sheetData>
  <sortState xmlns:xlrd2="http://schemas.microsoft.com/office/spreadsheetml/2017/richdata2" ref="A2:L4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64BD-6878-4548-A16C-DB8A057DE7E5}">
  <sheetPr codeName="Sheet4"/>
  <dimension ref="A1:R5"/>
  <sheetViews>
    <sheetView tabSelected="1" workbookViewId="0">
      <selection activeCell="U15" sqref="U15"/>
    </sheetView>
  </sheetViews>
  <sheetFormatPr defaultRowHeight="15" x14ac:dyDescent="0.25"/>
  <cols>
    <col min="2" max="2" width="9.42578125" bestFit="1" customWidth="1"/>
    <col min="5" max="5" width="13.140625" bestFit="1" customWidth="1"/>
    <col min="6" max="6" width="9.140625" style="4"/>
    <col min="7" max="7" width="3.85546875" customWidth="1"/>
    <col min="10" max="10" width="3.85546875" customWidth="1"/>
    <col min="11" max="11" width="11.140625" bestFit="1" customWidth="1"/>
    <col min="13" max="13" width="3.85546875" customWidth="1"/>
    <col min="14" max="14" width="11.140625" bestFit="1" customWidth="1"/>
    <col min="16" max="16" width="3.85546875" customWidth="1"/>
  </cols>
  <sheetData>
    <row r="1" spans="1:18" x14ac:dyDescent="0.25">
      <c r="A1" t="s">
        <v>24</v>
      </c>
      <c r="B1" s="3">
        <v>44018</v>
      </c>
      <c r="D1" s="5" t="s">
        <v>25</v>
      </c>
      <c r="E1" s="6" t="s">
        <v>2</v>
      </c>
      <c r="F1" s="6" t="s">
        <v>26</v>
      </c>
      <c r="G1" s="4"/>
      <c r="H1" s="7" t="s">
        <v>3</v>
      </c>
      <c r="I1" s="7" t="s">
        <v>26</v>
      </c>
      <c r="J1" s="4"/>
      <c r="K1" s="8" t="s">
        <v>6</v>
      </c>
      <c r="L1" s="8" t="s">
        <v>26</v>
      </c>
      <c r="M1" s="4"/>
      <c r="N1" s="9" t="s">
        <v>7</v>
      </c>
      <c r="O1" s="9" t="s">
        <v>26</v>
      </c>
      <c r="P1" s="4"/>
      <c r="Q1" s="10" t="s">
        <v>8</v>
      </c>
      <c r="R1" s="11" t="s">
        <v>26</v>
      </c>
    </row>
    <row r="2" spans="1:18" x14ac:dyDescent="0.25">
      <c r="A2" t="s">
        <v>27</v>
      </c>
      <c r="B2" s="3">
        <v>44041</v>
      </c>
      <c r="D2" s="5">
        <f>COUNTIFS(Data!E:E,"&gt;="&amp;[1]Support!B1,Data!E:E,"&lt;="&amp;[1]Support!B2)</f>
        <v>0</v>
      </c>
      <c r="E2" s="4" t="s">
        <v>11</v>
      </c>
      <c r="F2" s="4">
        <f>COUNTIFS(Data!E:E,"&gt;="&amp;[1]Support!$B$1,Data!E:E,"&lt;="&amp;[1]Support!$B$2,Data!C:C,[1]Support!E2)</f>
        <v>0</v>
      </c>
      <c r="H2" s="4" t="s">
        <v>16</v>
      </c>
      <c r="I2" s="4">
        <f>COUNTIFS(Data!E:E,"&gt;="&amp;[1]Support!$B$1,Data!E:E,"&lt;="&amp;[1]Support!$B$2,Data!D:D,[1]Support!H2)</f>
        <v>0</v>
      </c>
      <c r="K2" s="4" t="s">
        <v>17</v>
      </c>
      <c r="L2">
        <f>COUNTIFS(Data!E:E,"&gt;="&amp;[1]Support!$B$1,Data!E:E,"&lt;="&amp;[1]Support!$B$2,Data!G:G,[1]Support!K2)</f>
        <v>0</v>
      </c>
      <c r="N2" s="4" t="s">
        <v>14</v>
      </c>
      <c r="O2">
        <f>COUNTIFS(Data!E:E,"&gt;="&amp;[1]Support!$B$1,Data!E:E,"&lt;="&amp;[1]Support!$B$2,Data!H:H,[1]Support!N2)</f>
        <v>0</v>
      </c>
      <c r="Q2" s="4" t="s">
        <v>15</v>
      </c>
      <c r="R2">
        <f>COUNTIFS(Data!E:E,"&gt;="&amp;[1]Support!$B$1,Data!E:E,"&lt;="&amp;[1]Support!$B$2,Data!I:I,[1]Support!Q2)</f>
        <v>0</v>
      </c>
    </row>
    <row r="3" spans="1:18" x14ac:dyDescent="0.25">
      <c r="E3" s="4" t="s">
        <v>16</v>
      </c>
      <c r="F3" s="4">
        <f>COUNTIFS(Data!E:E,"&gt;="&amp;[1]Support!$B$1,Data!E:E,"&lt;="&amp;[1]Support!$B$2,Data!C:C,[1]Support!E3)</f>
        <v>0</v>
      </c>
      <c r="H3" s="4" t="s">
        <v>19</v>
      </c>
      <c r="I3" s="4">
        <f>COUNTIFS(Data!E:E,"&gt;="&amp;[1]Support!$B$1,Data!E:E,"&lt;="&amp;[1]Support!$B$2,Data!D:D,[1]Support!H3)</f>
        <v>0</v>
      </c>
      <c r="K3" s="4" t="s">
        <v>13</v>
      </c>
      <c r="L3">
        <f>COUNTIFS(Data!E:E,"&gt;="&amp;[1]Support!$B$1,Data!E:E,"&lt;="&amp;[1]Support!$B$2,Data!G:G,[1]Support!K3)</f>
        <v>0</v>
      </c>
      <c r="N3" s="4" t="s">
        <v>18</v>
      </c>
      <c r="O3">
        <f>COUNTIFS(Data!E:E,"&gt;="&amp;[1]Support!$B$1,Data!E:E,"&lt;="&amp;[1]Support!$B$2,Data!H:H,[1]Support!N3)</f>
        <v>0</v>
      </c>
      <c r="Q3" s="4" t="s">
        <v>20</v>
      </c>
      <c r="R3">
        <f>COUNTIFS(Data!E:E,"&gt;="&amp;[1]Support!$B$1,Data!E:E,"&lt;="&amp;[1]Support!$B$2,Data!I:I,[1]Support!Q3)</f>
        <v>0</v>
      </c>
    </row>
    <row r="4" spans="1:18" x14ac:dyDescent="0.25">
      <c r="E4" s="4" t="s">
        <v>19</v>
      </c>
      <c r="F4" s="4">
        <f>COUNTIFS(Data!E:E,"&gt;="&amp;[1]Support!$B$1,Data!E:E,"&lt;="&amp;[1]Support!$B$2,Data!C:C,[1]Support!E4)</f>
        <v>0</v>
      </c>
      <c r="H4" s="4" t="s">
        <v>12</v>
      </c>
      <c r="I4" s="4">
        <f>COUNTIFS(Data!E:E,"&gt;="&amp;[1]Support!$B$1,Data!E:E,"&lt;="&amp;[1]Support!$B$2,Data!D:D,[1]Support!H4)</f>
        <v>0</v>
      </c>
      <c r="K4" s="4" t="s">
        <v>21</v>
      </c>
      <c r="L4">
        <f>COUNTIFS(Data!E:E,"&gt;="&amp;[1]Support!$B$1,Data!E:E,"&lt;="&amp;[1]Support!$B$2,Data!G:G,[1]Support!K4)</f>
        <v>0</v>
      </c>
      <c r="N4" s="4" t="s">
        <v>22</v>
      </c>
      <c r="O4">
        <f>COUNTIFS(Data!E:E,"&gt;="&amp;[1]Support!$B$1,Data!E:E,"&lt;="&amp;[1]Support!$B$2,Data!H:H,[1]Support!N4)</f>
        <v>0</v>
      </c>
    </row>
    <row r="5" spans="1:18" x14ac:dyDescent="0.25">
      <c r="E5" s="4" t="s">
        <v>12</v>
      </c>
      <c r="F5" s="4">
        <f>COUNTIFS(Data!E:E,"&gt;="&amp;[1]Support!$B$1,Data!E:E,"&lt;="&amp;[1]Support!$B$2,Data!C:C,[1]Support!E5)</f>
        <v>0</v>
      </c>
      <c r="K5" t="s">
        <v>23</v>
      </c>
      <c r="L5">
        <f>COUNTIFS(Data!E:E,"&gt;="&amp;[1]Support!$B$1,Data!E:E,"&lt;="&amp;[1]Support!$B$2,Data!G:G,[1]Support!K5)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A1F09-AA96-4F37-9176-BDFAEA94FCE8}">
  <sheetPr codeName="Sheet5"/>
  <dimension ref="A1:E5"/>
  <sheetViews>
    <sheetView workbookViewId="0">
      <selection activeCell="L18" sqref="L18"/>
    </sheetView>
  </sheetViews>
  <sheetFormatPr defaultRowHeight="15" x14ac:dyDescent="0.25"/>
  <sheetData>
    <row r="1" spans="1:5" x14ac:dyDescent="0.25">
      <c r="A1" s="1" t="s">
        <v>2</v>
      </c>
      <c r="B1" s="1" t="s">
        <v>3</v>
      </c>
      <c r="C1" s="1" t="s">
        <v>6</v>
      </c>
      <c r="D1" s="1" t="s">
        <v>7</v>
      </c>
      <c r="E1" s="1" t="s">
        <v>8</v>
      </c>
    </row>
    <row r="2" spans="1:5" x14ac:dyDescent="0.25">
      <c r="A2" s="4" t="s">
        <v>11</v>
      </c>
      <c r="B2" s="4" t="s">
        <v>16</v>
      </c>
      <c r="C2" s="4" t="s">
        <v>17</v>
      </c>
      <c r="D2" s="4" t="s">
        <v>14</v>
      </c>
      <c r="E2" s="4" t="s">
        <v>15</v>
      </c>
    </row>
    <row r="3" spans="1:5" x14ac:dyDescent="0.25">
      <c r="A3" s="4" t="s">
        <v>16</v>
      </c>
      <c r="B3" s="4" t="s">
        <v>19</v>
      </c>
      <c r="C3" s="4" t="s">
        <v>13</v>
      </c>
      <c r="D3" s="4" t="s">
        <v>18</v>
      </c>
      <c r="E3" s="4" t="s">
        <v>20</v>
      </c>
    </row>
    <row r="4" spans="1:5" x14ac:dyDescent="0.25">
      <c r="A4" s="4" t="s">
        <v>19</v>
      </c>
      <c r="B4" s="4" t="s">
        <v>12</v>
      </c>
      <c r="C4" s="4" t="s">
        <v>21</v>
      </c>
      <c r="D4" s="4" t="s">
        <v>22</v>
      </c>
      <c r="E4" s="4"/>
    </row>
    <row r="5" spans="1:5" x14ac:dyDescent="0.25">
      <c r="A5" s="4" t="s">
        <v>12</v>
      </c>
      <c r="B5" s="4"/>
      <c r="C5" s="4" t="s">
        <v>23</v>
      </c>
      <c r="D5" s="4"/>
      <c r="E5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Launch Ticket Tracker</vt:lpstr>
      <vt:lpstr>Data</vt:lpstr>
      <vt:lpstr>Data_Display</vt:lpstr>
      <vt:lpstr>Support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royali bahri</dc:creator>
  <cp:lastModifiedBy>royali bahri</cp:lastModifiedBy>
  <dcterms:created xsi:type="dcterms:W3CDTF">2021-07-20T04:35:34Z</dcterms:created>
  <dcterms:modified xsi:type="dcterms:W3CDTF">2021-07-21T06:12:11Z</dcterms:modified>
</cp:coreProperties>
</file>